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rogramación Aplicada II\vsc\"/>
    </mc:Choice>
  </mc:AlternateContent>
  <xr:revisionPtr revIDLastSave="0" documentId="13_ncr:1_{AB76BA0A-243E-4E96-8719-D0FA6BB516AC}" xr6:coauthVersionLast="36" xr6:coauthVersionMax="47" xr10:uidLastSave="{00000000-0000-0000-0000-000000000000}"/>
  <bookViews>
    <workbookView xWindow="0" yWindow="0" windowWidth="21570" windowHeight="7890" xr2:uid="{B87F8691-3BC5-4814-8886-CB72962A5646}"/>
  </bookViews>
  <sheets>
    <sheet name="Introducción" sheetId="3" r:id="rId1"/>
    <sheet name="Estructura del proyecto" sheetId="5" r:id="rId2"/>
    <sheet name="Algoritmo" sheetId="4" r:id="rId3"/>
    <sheet name="Planteamiento" sheetId="1" r:id="rId4"/>
    <sheet name="Casos de prueba" sheetId="2" r:id="rId5"/>
  </sheets>
  <definedNames>
    <definedName name="dof">Planteamiento!$B$6</definedName>
    <definedName name="E">Planteamiento!$B$18</definedName>
    <definedName name="num_seg">Planteamiento!$B$12</definedName>
    <definedName name="sumaf">Planteamiento!$K$31</definedName>
    <definedName name="w">Planteamiento!$A$16</definedName>
    <definedName name="x">Planteamiento!$B$20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1" l="1"/>
  <c r="F23" i="1"/>
  <c r="F24" i="1"/>
  <c r="F25" i="1"/>
  <c r="F26" i="1"/>
  <c r="F27" i="1"/>
  <c r="F28" i="1"/>
  <c r="F29" i="1"/>
  <c r="F30" i="1"/>
  <c r="F31" i="1"/>
  <c r="F21" i="1"/>
  <c r="H21" i="1"/>
  <c r="H22" i="1"/>
  <c r="H23" i="1"/>
  <c r="H24" i="1"/>
  <c r="H25" i="1"/>
  <c r="H26" i="1"/>
  <c r="H27" i="1"/>
  <c r="H28" i="1"/>
  <c r="H29" i="1"/>
  <c r="H30" i="1"/>
  <c r="H31" i="1"/>
  <c r="E31" i="1"/>
  <c r="G31" i="1" s="1"/>
  <c r="A16" i="1"/>
  <c r="E23" i="1" s="1"/>
  <c r="G23" i="1" s="1"/>
  <c r="E21" i="1"/>
  <c r="G21" i="1" s="1"/>
  <c r="I21" i="1" l="1"/>
  <c r="K21" i="1" s="1"/>
  <c r="I23" i="1"/>
  <c r="J23" i="1" s="1"/>
  <c r="E27" i="1"/>
  <c r="G27" i="1" s="1"/>
  <c r="I27" i="1" s="1"/>
  <c r="J27" i="1" s="1"/>
  <c r="E24" i="1"/>
  <c r="G24" i="1" s="1"/>
  <c r="I24" i="1" s="1"/>
  <c r="J24" i="1" s="1"/>
  <c r="E28" i="1"/>
  <c r="G28" i="1" s="1"/>
  <c r="I28" i="1" s="1"/>
  <c r="J28" i="1" s="1"/>
  <c r="E26" i="1"/>
  <c r="G26" i="1" s="1"/>
  <c r="I26" i="1" s="1"/>
  <c r="J26" i="1" s="1"/>
  <c r="E22" i="1"/>
  <c r="G22" i="1" s="1"/>
  <c r="I22" i="1" s="1"/>
  <c r="J22" i="1" s="1"/>
  <c r="K22" i="1" s="1"/>
  <c r="K23" i="1" s="1"/>
  <c r="K24" i="1" s="1"/>
  <c r="E30" i="1"/>
  <c r="G30" i="1" s="1"/>
  <c r="I30" i="1" s="1"/>
  <c r="J30" i="1" s="1"/>
  <c r="E29" i="1"/>
  <c r="G29" i="1" s="1"/>
  <c r="I29" i="1" s="1"/>
  <c r="J29" i="1" s="1"/>
  <c r="E25" i="1"/>
  <c r="G25" i="1" s="1"/>
  <c r="I25" i="1" s="1"/>
  <c r="J25" i="1" s="1"/>
  <c r="I31" i="1"/>
  <c r="K25" i="1" l="1"/>
  <c r="K26" i="1" s="1"/>
  <c r="K27" i="1" s="1"/>
  <c r="K28" i="1" s="1"/>
  <c r="K29" i="1" s="1"/>
  <c r="K30" i="1" s="1"/>
  <c r="K31" i="1" s="1"/>
  <c r="K33" i="1" s="1" a="1"/>
  <c r="K33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<sst xmlns="http://schemas.openxmlformats.org/spreadsheetml/2006/main" count="81" uniqueCount="68">
  <si>
    <t>Datos de entrada:</t>
  </si>
  <si>
    <t>x inicial=</t>
  </si>
  <si>
    <t>x =</t>
  </si>
  <si>
    <t>dof =</t>
  </si>
  <si>
    <t>(grados de libertad)</t>
  </si>
  <si>
    <t>La integración numérica es el proceso de determinar el área</t>
  </si>
  <si>
    <t>bajo la acción de una función.</t>
  </si>
  <si>
    <t>La integración numérica calcula esta área dividiéndola en “franjas” verticales y sumando sus áreas</t>
  </si>
  <si>
    <t>individuales.</t>
  </si>
  <si>
    <t>La clave reside en minimizar el error en esta aproximación.</t>
  </si>
  <si>
    <t>La regla de Simpson se puede usar para integrar una función de distribución estadística simétrica en un rango específico (por ejemplo, de 0 a un valor x).</t>
  </si>
  <si>
    <t>1. num_seg = número inicial de segmentos, un número par.</t>
  </si>
  <si>
    <t>2. W = x/num_seg, ancho del segmento.</t>
  </si>
  <si>
    <t>3. E = error aceptable, por ejemplo, 0.00001.</t>
  </si>
  <si>
    <t>4. Calcule el valor de la integral con la siguiente ecuación.</t>
  </si>
  <si>
    <t>Algoritmo</t>
  </si>
  <si>
    <t>Función a evaluar en la fórmula de la regla de Simpson</t>
  </si>
  <si>
    <t>*** Aplicar ésta función en cada F de la regla de Simpson</t>
  </si>
  <si>
    <t>Fórmula de la regla de Simpson</t>
  </si>
  <si>
    <t>**Símbolo de la función para calcular gamma</t>
  </si>
  <si>
    <t xml:space="preserve">Fórmula </t>
  </si>
  <si>
    <t>NOTA: también se puede calgar la biblioteca:  from scipy.special as sp</t>
  </si>
  <si>
    <t>sp.gamma(valor)</t>
  </si>
  <si>
    <t>o:</t>
  </si>
  <si>
    <t>import math</t>
  </si>
  <si>
    <t>math.gamma(valor)</t>
  </si>
  <si>
    <t>num_seg =</t>
  </si>
  <si>
    <t>(número de segmentos)</t>
  </si>
  <si>
    <t>Calcular valor de w:</t>
  </si>
  <si>
    <t>w = x / num_seg</t>
  </si>
  <si>
    <t>Asignar valor a E</t>
  </si>
  <si>
    <t xml:space="preserve">E = </t>
  </si>
  <si>
    <t>Asignar valor a num_seg</t>
  </si>
  <si>
    <t>Asignar valor a x</t>
  </si>
  <si>
    <t>calcular valor de p con la ecuación</t>
  </si>
  <si>
    <t>integrando la función</t>
  </si>
  <si>
    <t>i</t>
  </si>
  <si>
    <t>xi</t>
  </si>
  <si>
    <t>termino</t>
  </si>
  <si>
    <t>multiplicar</t>
  </si>
  <si>
    <t>función parte 1</t>
  </si>
  <si>
    <t>función parte 2</t>
  </si>
  <si>
    <t>función parte 3</t>
  </si>
  <si>
    <t>suma</t>
  </si>
  <si>
    <t>p=</t>
  </si>
  <si>
    <t>Escribir un programa que integre una función utilizando la Regla de Simpson</t>
  </si>
  <si>
    <t>sumaf</t>
  </si>
  <si>
    <t xml:space="preserve">  = w/3 * sumaf</t>
  </si>
  <si>
    <t>Crear proyecto con nombre de los dos integrantes, ejemplo: juanAdriana</t>
  </si>
  <si>
    <t>juanAdriana</t>
  </si>
  <si>
    <t>carpeta:</t>
  </si>
  <si>
    <t>psp</t>
  </si>
  <si>
    <t>ejercicio1</t>
  </si>
  <si>
    <t>archivo</t>
  </si>
  <si>
    <t>psp1.py</t>
  </si>
  <si>
    <t>gui</t>
  </si>
  <si>
    <t>archivo.ui</t>
  </si>
  <si>
    <t>ventana_psp_1</t>
  </si>
  <si>
    <t>(con Qt Designer)</t>
  </si>
  <si>
    <t>ventana_menu</t>
  </si>
  <si>
    <t>load</t>
  </si>
  <si>
    <t>main</t>
  </si>
  <si>
    <t>ejercicio2</t>
  </si>
  <si>
    <t>psp2.py</t>
  </si>
  <si>
    <t>ventana_psp_2</t>
  </si>
  <si>
    <t>load_venta_psp1.py</t>
  </si>
  <si>
    <t>load_venta_psp2.py</t>
  </si>
  <si>
    <t>load_menu_principal.py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</si>
</sst>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/>
    <xf numFmtId="0" fontId="3" fillId="0" borderId="0" xfId="0" applyFont="1"/>
    <xf numFmtId="0" fontId="0" fillId="4" borderId="0" xfId="0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3" borderId="0" xfId="0" applyFont="1" applyFill="1" applyAlignment="1">
      <alignment horizontal="right"/>
    </xf>
    <xf numFmtId="0" fontId="1" fillId="3" borderId="0" xfId="0" applyFont="1" applyFill="1"/>
    <xf numFmtId="0" fontId="0" fillId="3" borderId="1" xfId="0" applyFill="1" applyBorder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438150</xdr:colOff>
      <xdr:row>10</xdr:row>
      <xdr:rowOff>114300</xdr:rowOff>
    </xdr:from>
    <xdr:to>
      <xdr:col>9</xdr:col>
      <xdr:colOff>438894</xdr:colOff>
      <xdr:row>26</xdr:row>
      <xdr:rowOff>171883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0D7E987-443A-49D1-B398-DDC287CB7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" y="2857500"/>
          <a:ext cx="5334744" cy="31055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471319</xdr:colOff>
      <xdr:row>1</xdr:row>
      <xdr:rowOff>91440</xdr:rowOff>
    </xdr:from>
    <xdr:to>
      <xdr:col>1</xdr:col>
      <xdr:colOff>692741</xdr:colOff>
      <xdr:row>2</xdr:row>
      <xdr:rowOff>186826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0256E8-BF0C-4B85-9F73-83DBD6A90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3319" y="281940"/>
          <a:ext cx="221422" cy="285886"/>
        </a:xfrm>
        <a:prstGeom prst="rect">
          <a:avLst/>
        </a:prstGeom>
      </xdr:spPr>
    </xdr:pic>
    <xdr:clientData/>
  </xdr:twoCellAnchor>
  <xdr:twoCellAnchor editAs="oneCell">
    <xdr:from>
      <xdr:col>2</xdr:col>
      <xdr:colOff>581130</xdr:colOff>
      <xdr:row>3</xdr:row>
      <xdr:rowOff>7515</xdr:rowOff>
    </xdr:from>
    <xdr:to>
      <xdr:col>2</xdr:col>
      <xdr:colOff>720090</xdr:colOff>
      <xdr:row>3</xdr:row>
      <xdr:rowOff>186931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F799C4-FF03-4EA0-AB96-0B4BF8BA4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5130" y="579015"/>
          <a:ext cx="138960" cy="179416"/>
        </a:xfrm>
        <a:prstGeom prst="rect">
          <a:avLst/>
        </a:prstGeom>
      </xdr:spPr>
    </xdr:pic>
    <xdr:clientData/>
  </xdr:twoCellAnchor>
  <xdr:twoCellAnchor editAs="oneCell">
    <xdr:from>
      <xdr:col>3</xdr:col>
      <xdr:colOff>219180</xdr:colOff>
      <xdr:row>4</xdr:row>
      <xdr:rowOff>3705</xdr:rowOff>
    </xdr:from>
    <xdr:to>
      <xdr:col>3</xdr:col>
      <xdr:colOff>358140</xdr:colOff>
      <xdr:row>4</xdr:row>
      <xdr:rowOff>183121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5F9AE6A-906A-4DD4-ABC6-B703A6CCF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5180" y="765705"/>
          <a:ext cx="138960" cy="179416"/>
        </a:xfrm>
        <a:prstGeom prst="rect">
          <a:avLst/>
        </a:prstGeom>
      </xdr:spPr>
    </xdr:pic>
    <xdr:clientData/>
  </xdr:twoCellAnchor>
  <xdr:oneCellAnchor>
    <xdr:from>
      <xdr:col>2</xdr:col>
      <xdr:colOff>596370</xdr:colOff>
      <xdr:row>3</xdr:row>
      <xdr:rowOff>3705</xdr:rowOff>
    </xdr:from>
    <xdr:ext cx="138960" cy="179416"/>
    <xdr:pic>
      <xdr:nvPicPr>
        <xdr:cNvPr id="5" name="Imagen 4">
          <a:extLst>
            <a:ext uri="{FF2B5EF4-FFF2-40B4-BE49-F238E27FC236}">
              <a16:creationId xmlns:a16="http://schemas.microsoft.com/office/drawing/2014/main" id="{692DB75C-1AB0-4CF4-85AA-97C5F8080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370" y="765705"/>
          <a:ext cx="138960" cy="179416"/>
        </a:xfrm>
        <a:prstGeom prst="rect">
          <a:avLst/>
        </a:prstGeom>
      </xdr:spPr>
    </xdr:pic>
    <xdr:clientData/>
  </xdr:oneCellAnchor>
  <xdr:twoCellAnchor editAs="oneCell">
    <xdr:from>
      <xdr:col>3</xdr:col>
      <xdr:colOff>785058</xdr:colOff>
      <xdr:row>5</xdr:row>
      <xdr:rowOff>31117</xdr:rowOff>
    </xdr:from>
    <xdr:to>
      <xdr:col>4</xdr:col>
      <xdr:colOff>3810</xdr:colOff>
      <xdr:row>5</xdr:row>
      <xdr:rowOff>184347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503F55B-D66C-4671-9233-E13829F67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71058" y="983617"/>
          <a:ext cx="152202" cy="153230"/>
        </a:xfrm>
        <a:prstGeom prst="rect">
          <a:avLst/>
        </a:prstGeom>
      </xdr:spPr>
    </xdr:pic>
    <xdr:clientData/>
  </xdr:twoCellAnchor>
  <xdr:oneCellAnchor>
    <xdr:from>
      <xdr:col>3</xdr:col>
      <xdr:colOff>226800</xdr:colOff>
      <xdr:row>5</xdr:row>
      <xdr:rowOff>190395</xdr:rowOff>
    </xdr:from>
    <xdr:ext cx="138960" cy="179416"/>
    <xdr:pic>
      <xdr:nvPicPr>
        <xdr:cNvPr id="7" name="Imagen 6">
          <a:extLst>
            <a:ext uri="{FF2B5EF4-FFF2-40B4-BE49-F238E27FC236}">
              <a16:creationId xmlns:a16="http://schemas.microsoft.com/office/drawing/2014/main" id="{EBB328B2-EAFB-46CF-B331-2AB354D78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12800" y="1142895"/>
          <a:ext cx="138960" cy="179416"/>
        </a:xfrm>
        <a:prstGeom prst="rect">
          <a:avLst/>
        </a:prstGeom>
      </xdr:spPr>
    </xdr:pic>
    <xdr:clientData/>
  </xdr:oneCellAnchor>
  <xdr:oneCellAnchor>
    <xdr:from>
      <xdr:col>3</xdr:col>
      <xdr:colOff>766008</xdr:colOff>
      <xdr:row>7</xdr:row>
      <xdr:rowOff>19661</xdr:rowOff>
    </xdr:from>
    <xdr:ext cx="159822" cy="160902"/>
    <xdr:pic>
      <xdr:nvPicPr>
        <xdr:cNvPr id="8" name="Imagen 7">
          <a:extLst>
            <a:ext uri="{FF2B5EF4-FFF2-40B4-BE49-F238E27FC236}">
              <a16:creationId xmlns:a16="http://schemas.microsoft.com/office/drawing/2014/main" id="{261CE310-221C-49B9-BCCC-500DEBA3D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52008" y="1353161"/>
          <a:ext cx="159822" cy="160902"/>
        </a:xfrm>
        <a:prstGeom prst="rect">
          <a:avLst/>
        </a:prstGeom>
      </xdr:spPr>
    </xdr:pic>
    <xdr:clientData/>
  </xdr:oneCellAnchor>
  <xdr:oneCellAnchor>
    <xdr:from>
      <xdr:col>2</xdr:col>
      <xdr:colOff>611610</xdr:colOff>
      <xdr:row>9</xdr:row>
      <xdr:rowOff>7515</xdr:rowOff>
    </xdr:from>
    <xdr:ext cx="138960" cy="179416"/>
    <xdr:pic>
      <xdr:nvPicPr>
        <xdr:cNvPr id="9" name="Imagen 8">
          <a:extLst>
            <a:ext uri="{FF2B5EF4-FFF2-40B4-BE49-F238E27FC236}">
              <a16:creationId xmlns:a16="http://schemas.microsoft.com/office/drawing/2014/main" id="{A38D0FA7-6A23-4DE7-819E-82402CAE9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5610" y="1722015"/>
          <a:ext cx="138960" cy="179416"/>
        </a:xfrm>
        <a:prstGeom prst="rect">
          <a:avLst/>
        </a:prstGeom>
      </xdr:spPr>
    </xdr:pic>
    <xdr:clientData/>
  </xdr:oneCellAnchor>
  <xdr:oneCellAnchor>
    <xdr:from>
      <xdr:col>2</xdr:col>
      <xdr:colOff>596370</xdr:colOff>
      <xdr:row>13</xdr:row>
      <xdr:rowOff>7515</xdr:rowOff>
    </xdr:from>
    <xdr:ext cx="138960" cy="179416"/>
    <xdr:pic>
      <xdr:nvPicPr>
        <xdr:cNvPr id="10" name="Imagen 9">
          <a:extLst>
            <a:ext uri="{FF2B5EF4-FFF2-40B4-BE49-F238E27FC236}">
              <a16:creationId xmlns:a16="http://schemas.microsoft.com/office/drawing/2014/main" id="{C303B62E-7534-4F45-92F4-0A266038C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20370" y="2293515"/>
          <a:ext cx="138960" cy="179416"/>
        </a:xfrm>
        <a:prstGeom prst="rect">
          <a:avLst/>
        </a:prstGeom>
      </xdr:spPr>
    </xdr:pic>
    <xdr:clientData/>
  </xdr:oneCellAnchor>
  <xdr:twoCellAnchor editAs="oneCell">
    <xdr:from>
      <xdr:col>3</xdr:col>
      <xdr:colOff>272177</xdr:colOff>
      <xdr:row>10</xdr:row>
      <xdr:rowOff>15512</xdr:rowOff>
    </xdr:from>
    <xdr:to>
      <xdr:col>3</xdr:col>
      <xdr:colOff>443795</xdr:colOff>
      <xdr:row>10</xdr:row>
      <xdr:rowOff>188492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176B46F-7371-4AF9-BC2F-5D1FC3D20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58177" y="1920512"/>
          <a:ext cx="171618" cy="172980"/>
        </a:xfrm>
        <a:prstGeom prst="rect">
          <a:avLst/>
        </a:prstGeom>
      </xdr:spPr>
    </xdr:pic>
    <xdr:clientData/>
  </xdr:twoCellAnchor>
  <xdr:oneCellAnchor>
    <xdr:from>
      <xdr:col>3</xdr:col>
      <xdr:colOff>288091</xdr:colOff>
      <xdr:row>14</xdr:row>
      <xdr:rowOff>27281</xdr:rowOff>
    </xdr:from>
    <xdr:ext cx="159822" cy="160902"/>
    <xdr:pic>
      <xdr:nvPicPr>
        <xdr:cNvPr id="12" name="Imagen 11">
          <a:extLst>
            <a:ext uri="{FF2B5EF4-FFF2-40B4-BE49-F238E27FC236}">
              <a16:creationId xmlns:a16="http://schemas.microsoft.com/office/drawing/2014/main" id="{A1CCB864-1B60-4F26-B97E-FD9D4D72D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4091" y="2694281"/>
          <a:ext cx="159822" cy="160902"/>
        </a:xfrm>
        <a:prstGeom prst="rect">
          <a:avLst/>
        </a:prstGeom>
      </xdr:spPr>
    </xdr:pic>
    <xdr:clientData/>
  </xdr:oneCellAnchor>
  <xdr:oneCellAnchor>
    <xdr:from>
      <xdr:col>3</xdr:col>
      <xdr:colOff>282138</xdr:colOff>
      <xdr:row>16</xdr:row>
      <xdr:rowOff>37520</xdr:rowOff>
    </xdr:from>
    <xdr:ext cx="159822" cy="160902"/>
    <xdr:pic>
      <xdr:nvPicPr>
        <xdr:cNvPr id="13" name="Imagen 12">
          <a:extLst>
            <a:ext uri="{FF2B5EF4-FFF2-40B4-BE49-F238E27FC236}">
              <a16:creationId xmlns:a16="http://schemas.microsoft.com/office/drawing/2014/main" id="{10C6CA79-2625-41AA-BCA8-D13C4E7CC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68138" y="3085520"/>
          <a:ext cx="159822" cy="160902"/>
        </a:xfrm>
        <a:prstGeom prst="rect">
          <a:avLst/>
        </a:prstGeom>
      </xdr:spPr>
    </xdr:pic>
    <xdr:clientData/>
  </xdr:oneCellAnchor>
  <xdr:oneCellAnchor>
    <xdr:from>
      <xdr:col>2</xdr:col>
      <xdr:colOff>567888</xdr:colOff>
      <xdr:row>18</xdr:row>
      <xdr:rowOff>23471</xdr:rowOff>
    </xdr:from>
    <xdr:ext cx="159822" cy="160902"/>
    <xdr:pic>
      <xdr:nvPicPr>
        <xdr:cNvPr id="14" name="Imagen 13">
          <a:extLst>
            <a:ext uri="{FF2B5EF4-FFF2-40B4-BE49-F238E27FC236}">
              <a16:creationId xmlns:a16="http://schemas.microsoft.com/office/drawing/2014/main" id="{53D32A04-C4E3-4B3C-AB36-EA0F01D3A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91888" y="3071471"/>
          <a:ext cx="159822" cy="160902"/>
        </a:xfrm>
        <a:prstGeom prst="rect">
          <a:avLst/>
        </a:prstGeom>
      </xdr:spPr>
    </xdr:pic>
    <xdr:clientData/>
  </xdr:oneCellAnchor>
  <xdr:oneCellAnchor>
    <xdr:from>
      <xdr:col>3</xdr:col>
      <xdr:colOff>285948</xdr:colOff>
      <xdr:row>15</xdr:row>
      <xdr:rowOff>25614</xdr:rowOff>
    </xdr:from>
    <xdr:ext cx="159822" cy="160902"/>
    <xdr:pic>
      <xdr:nvPicPr>
        <xdr:cNvPr id="15" name="Imagen 14">
          <a:extLst>
            <a:ext uri="{FF2B5EF4-FFF2-40B4-BE49-F238E27FC236}">
              <a16:creationId xmlns:a16="http://schemas.microsoft.com/office/drawing/2014/main" id="{8D733AF1-4C8C-45F1-8AAD-A1850C2BF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71948" y="2883114"/>
          <a:ext cx="159822" cy="160902"/>
        </a:xfrm>
        <a:prstGeom prst="rect">
          <a:avLst/>
        </a:prstGeom>
      </xdr:spPr>
    </xdr:pic>
    <xdr:clientData/>
  </xdr:oneCellAnchor>
  <xdr:twoCellAnchor editAs="oneCell">
    <xdr:from>
      <xdr:col>3</xdr:col>
      <xdr:colOff>280273</xdr:colOff>
      <xdr:row>12</xdr:row>
      <xdr:rowOff>19798</xdr:rowOff>
    </xdr:from>
    <xdr:to>
      <xdr:col>3</xdr:col>
      <xdr:colOff>451891</xdr:colOff>
      <xdr:row>13</xdr:row>
      <xdr:rowOff>2278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D0A2F4F-C234-4115-B52F-AB9B14513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66273" y="2305798"/>
          <a:ext cx="171618" cy="172980"/>
        </a:xfrm>
        <a:prstGeom prst="rect">
          <a:avLst/>
        </a:prstGeom>
      </xdr:spPr>
    </xdr:pic>
    <xdr:clientData/>
  </xdr:twoCellAnchor>
  <xdr:oneCellAnchor>
    <xdr:from>
      <xdr:col>3</xdr:col>
      <xdr:colOff>278130</xdr:colOff>
      <xdr:row>11</xdr:row>
      <xdr:rowOff>9558</xdr:rowOff>
    </xdr:from>
    <xdr:ext cx="171618" cy="172980"/>
    <xdr:pic>
      <xdr:nvPicPr>
        <xdr:cNvPr id="17" name="Imagen 16">
          <a:extLst>
            <a:ext uri="{FF2B5EF4-FFF2-40B4-BE49-F238E27FC236}">
              <a16:creationId xmlns:a16="http://schemas.microsoft.com/office/drawing/2014/main" id="{087CB041-3CF9-46F1-8F3E-ABFD8AC164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64130" y="2105058"/>
          <a:ext cx="171618" cy="17298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9</xdr:row>
      <xdr:rowOff>180975</xdr:rowOff>
    </xdr:from>
    <xdr:to>
      <xdr:col>7</xdr:col>
      <xdr:colOff>543635</xdr:colOff>
      <xdr:row>14</xdr:row>
      <xdr:rowOff>152529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09C65B-92C4-4F53-9425-9F7561C66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0575" y="2038350"/>
          <a:ext cx="5087060" cy="924054"/>
        </a:xfrm>
        <a:prstGeom prst="rect">
          <a:avLst/>
        </a:prstGeom>
      </xdr:spPr>
    </xdr:pic>
    <xdr:clientData/>
  </xdr:twoCellAnchor>
  <xdr:twoCellAnchor editAs="oneCell">
    <xdr:from>
      <xdr:col>3</xdr:col>
      <xdr:colOff>426227</xdr:colOff>
      <xdr:row>20</xdr:row>
      <xdr:rowOff>37845</xdr:rowOff>
    </xdr:from>
    <xdr:to>
      <xdr:col>10</xdr:col>
      <xdr:colOff>403067</xdr:colOff>
      <xdr:row>30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B7A109-8F8D-456D-9B38-CC1DBCAD3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12227" y="4619370"/>
          <a:ext cx="5310840" cy="1876680"/>
        </a:xfrm>
        <a:prstGeom prst="rect">
          <a:avLst/>
        </a:prstGeom>
      </xdr:spPr>
    </xdr:pic>
    <xdr:clientData/>
  </xdr:twoCellAnchor>
  <xdr:twoCellAnchor>
    <xdr:from>
      <xdr:col>2</xdr:col>
      <xdr:colOff>209550</xdr:colOff>
      <xdr:row>13</xdr:row>
      <xdr:rowOff>38100</xdr:rowOff>
    </xdr:from>
    <xdr:to>
      <xdr:col>4</xdr:col>
      <xdr:colOff>76200</xdr:colOff>
      <xdr:row>24</xdr:row>
      <xdr:rowOff>85725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735E91C8-48B9-4CCC-A26F-76F34BD35573}"/>
            </a:ext>
          </a:extLst>
        </xdr:cNvPr>
        <xdr:cNvCxnSpPr/>
      </xdr:nvCxnSpPr>
      <xdr:spPr>
        <a:xfrm>
          <a:off x="1733550" y="3286125"/>
          <a:ext cx="1390650" cy="21431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</xdr:col>
      <xdr:colOff>704850</xdr:colOff>
      <xdr:row>12</xdr:row>
      <xdr:rowOff>114300</xdr:rowOff>
    </xdr:from>
    <xdr:to>
      <xdr:col>4</xdr:col>
      <xdr:colOff>38100</xdr:colOff>
      <xdr:row>24</xdr:row>
      <xdr:rowOff>85725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93B8251F-9FBD-453A-B5FD-846595A4308D}"/>
            </a:ext>
          </a:extLst>
        </xdr:cNvPr>
        <xdr:cNvCxnSpPr/>
      </xdr:nvCxnSpPr>
      <xdr:spPr>
        <a:xfrm>
          <a:off x="2990850" y="3171825"/>
          <a:ext cx="95250" cy="225742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13</xdr:row>
      <xdr:rowOff>9525</xdr:rowOff>
    </xdr:from>
    <xdr:to>
      <xdr:col>5</xdr:col>
      <xdr:colOff>647701</xdr:colOff>
      <xdr:row>24</xdr:row>
      <xdr:rowOff>66675</xdr:rowOff>
    </xdr:to>
    <xdr:cxnSp macro="">
      <xdr:nvCxnSpPr>
        <xdr:cNvPr id="8" name="Conector recto de flecha 7">
          <a:extLst>
            <a:ext uri="{FF2B5EF4-FFF2-40B4-BE49-F238E27FC236}">
              <a16:creationId xmlns:a16="http://schemas.microsoft.com/office/drawing/2014/main" id="{11617C25-C62B-4DF0-8C4C-F3162E0317DB}"/>
            </a:ext>
          </a:extLst>
        </xdr:cNvPr>
        <xdr:cNvCxnSpPr/>
      </xdr:nvCxnSpPr>
      <xdr:spPr>
        <a:xfrm flipH="1">
          <a:off x="3086100" y="3257550"/>
          <a:ext cx="1371601" cy="2152650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38101</xdr:colOff>
      <xdr:row>13</xdr:row>
      <xdr:rowOff>0</xdr:rowOff>
    </xdr:from>
    <xdr:to>
      <xdr:col>6</xdr:col>
      <xdr:colOff>742950</xdr:colOff>
      <xdr:row>24</xdr:row>
      <xdr:rowOff>66675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3AD0DE1C-8507-4B84-BBA4-C5192DCD33D7}"/>
            </a:ext>
          </a:extLst>
        </xdr:cNvPr>
        <xdr:cNvCxnSpPr/>
      </xdr:nvCxnSpPr>
      <xdr:spPr>
        <a:xfrm flipH="1">
          <a:off x="3086101" y="3248025"/>
          <a:ext cx="2228849" cy="2162175"/>
        </a:xfrm>
        <a:prstGeom prst="straightConnector1">
          <a:avLst/>
        </a:prstGeom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157369</xdr:colOff>
      <xdr:row>0</xdr:row>
      <xdr:rowOff>18138</xdr:rowOff>
    </xdr:from>
    <xdr:to>
      <xdr:col>10</xdr:col>
      <xdr:colOff>397596</xdr:colOff>
      <xdr:row>3</xdr:row>
      <xdr:rowOff>92040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3EDB995-4BAB-40E3-A6B3-225609748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29369" y="18138"/>
          <a:ext cx="3553034" cy="645402"/>
        </a:xfrm>
        <a:prstGeom prst="rect">
          <a:avLst/>
        </a:prstGeom>
      </xdr:spPr>
    </xdr:pic>
    <xdr:clientData/>
  </xdr:twoCellAnchor>
  <xdr:twoCellAnchor editAs="oneCell">
    <xdr:from>
      <xdr:col>8</xdr:col>
      <xdr:colOff>57642</xdr:colOff>
      <xdr:row>3</xdr:row>
      <xdr:rowOff>162180</xdr:rowOff>
    </xdr:from>
    <xdr:to>
      <xdr:col>11</xdr:col>
      <xdr:colOff>220186</xdr:colOff>
      <xdr:row>9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A19EAE-0736-4B72-B397-F8926A4A1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77442" y="733680"/>
          <a:ext cx="2829544" cy="999870"/>
        </a:xfrm>
        <a:prstGeom prst="rect">
          <a:avLst/>
        </a:prstGeom>
      </xdr:spPr>
    </xdr:pic>
    <xdr:clientData/>
  </xdr:twoCellAnchor>
  <xdr:twoCellAnchor editAs="oneCell">
    <xdr:from>
      <xdr:col>12</xdr:col>
      <xdr:colOff>446711</xdr:colOff>
      <xdr:row>5</xdr:row>
      <xdr:rowOff>40029</xdr:rowOff>
    </xdr:from>
    <xdr:to>
      <xdr:col>12</xdr:col>
      <xdr:colOff>731921</xdr:colOff>
      <xdr:row>6</xdr:row>
      <xdr:rowOff>174079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E9FF2BA-C1B0-4260-A311-DABE23302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732711" y="2516529"/>
          <a:ext cx="285210" cy="324550"/>
        </a:xfrm>
        <a:prstGeom prst="rect">
          <a:avLst/>
        </a:prstGeom>
      </xdr:spPr>
    </xdr:pic>
    <xdr:clientData/>
  </xdr:twoCellAnchor>
  <xdr:twoCellAnchor editAs="oneCell">
    <xdr:from>
      <xdr:col>12</xdr:col>
      <xdr:colOff>15041</xdr:colOff>
      <xdr:row>7</xdr:row>
      <xdr:rowOff>17499</xdr:rowOff>
    </xdr:from>
    <xdr:to>
      <xdr:col>13</xdr:col>
      <xdr:colOff>605439</xdr:colOff>
      <xdr:row>8</xdr:row>
      <xdr:rowOff>32687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82A8A94-AAA3-47CE-BE68-35FBCB29C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01041" y="2874999"/>
          <a:ext cx="1352398" cy="205688"/>
        </a:xfrm>
        <a:prstGeom prst="rect">
          <a:avLst/>
        </a:prstGeom>
      </xdr:spPr>
    </xdr:pic>
    <xdr:clientData/>
  </xdr:twoCellAnchor>
  <xdr:twoCellAnchor editAs="oneCell">
    <xdr:from>
      <xdr:col>4</xdr:col>
      <xdr:colOff>683558</xdr:colOff>
      <xdr:row>14</xdr:row>
      <xdr:rowOff>168091</xdr:rowOff>
    </xdr:from>
    <xdr:to>
      <xdr:col>6</xdr:col>
      <xdr:colOff>34177</xdr:colOff>
      <xdr:row>18</xdr:row>
      <xdr:rowOff>75381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93CEA48-C29C-49F7-A0E2-ED7829D9A8BE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1558" y="3238503"/>
          <a:ext cx="885825" cy="669290"/>
        </a:xfrm>
        <a:prstGeom prst="rect">
          <a:avLst/>
        </a:prstGeom>
      </xdr:spPr>
    </xdr:pic>
    <xdr:clientData/>
  </xdr:twoCellAnchor>
  <xdr:twoCellAnchor editAs="oneCell">
    <xdr:from>
      <xdr:col>6</xdr:col>
      <xdr:colOff>111012</xdr:colOff>
      <xdr:row>15</xdr:row>
      <xdr:rowOff>159201</xdr:rowOff>
    </xdr:from>
    <xdr:to>
      <xdr:col>6</xdr:col>
      <xdr:colOff>634887</xdr:colOff>
      <xdr:row>18</xdr:row>
      <xdr:rowOff>64586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CBFDA0D-B696-48B9-A04C-2A1D4DB6FA18}"/>
            </a:ext>
          </a:extLst>
        </xdr:cNvPr>
        <xdr:cNvPicPr/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94218" y="3420113"/>
          <a:ext cx="523875" cy="476885"/>
        </a:xfrm>
        <a:prstGeom prst="rect">
          <a:avLst/>
        </a:prstGeom>
      </xdr:spPr>
    </xdr:pic>
    <xdr:clientData/>
  </xdr:twoCellAnchor>
  <xdr:twoCellAnchor editAs="oneCell">
    <xdr:from>
      <xdr:col>7</xdr:col>
      <xdr:colOff>67160</xdr:colOff>
      <xdr:row>16</xdr:row>
      <xdr:rowOff>171901</xdr:rowOff>
    </xdr:from>
    <xdr:to>
      <xdr:col>8</xdr:col>
      <xdr:colOff>74518</xdr:colOff>
      <xdr:row>18</xdr:row>
      <xdr:rowOff>39186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826BAAB-A347-4549-BEC0-F3696780564B}"/>
            </a:ext>
          </a:extLst>
        </xdr:cNvPr>
        <xdr:cNvPicPr/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8748" y="3623313"/>
          <a:ext cx="724535" cy="2482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37824</xdr:colOff>
      <xdr:row>4</xdr:row>
      <xdr:rowOff>57314</xdr:rowOff>
    </xdr:from>
    <xdr:to>
      <xdr:col>8</xdr:col>
      <xdr:colOff>277074</xdr:colOff>
      <xdr:row>12</xdr:row>
      <xdr:rowOff>123826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A28621-1E7F-42FA-BD15-D6CE8F6F2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9824" y="819314"/>
          <a:ext cx="5573250" cy="15905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41A3-45AF-489B-B52F-C47880B76270}">
  <dimension ref="A1:B9"/>
  <sheetViews>
    <sheetView tabSelected="1" workbookViewId="0">
      <selection activeCell="A2" sqref="A2"/>
    </sheetView>
  </sheetViews>
  <sheetFormatPr baseColWidth="10" defaultRowHeight="15" x14ac:dyDescent="0.25"/>
  <sheetData>
    <row r="1" spans="1:2" ht="23.25" x14ac:dyDescent="0.35">
      <c r="A1" s="3" t="s">
        <v>45</v>
      </c>
    </row>
    <row r="3" spans="1:2" ht="23.25" x14ac:dyDescent="0.35">
      <c r="B3" s="3" t="s">
        <v>5</v>
      </c>
    </row>
    <row r="4" spans="1:2" ht="23.25" x14ac:dyDescent="0.35">
      <c r="B4" s="3" t="s">
        <v>6</v>
      </c>
    </row>
    <row r="5" spans="1:2" ht="23.25" x14ac:dyDescent="0.35">
      <c r="B5" s="3"/>
    </row>
    <row r="6" spans="1:2" ht="23.25" x14ac:dyDescent="0.35">
      <c r="B6" s="3" t="s">
        <v>7</v>
      </c>
    </row>
    <row r="7" spans="1:2" ht="23.25" x14ac:dyDescent="0.35">
      <c r="B7" s="3" t="s">
        <v>8</v>
      </c>
    </row>
    <row r="8" spans="1:2" ht="23.25" x14ac:dyDescent="0.35">
      <c r="B8" s="3"/>
    </row>
    <row r="9" spans="1:2" ht="23.25" x14ac:dyDescent="0.35">
      <c r="B9" s="3" t="s">
        <v>9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226E6-36B0-46D8-B208-CABA7DABA124}">
  <dimension ref="B1:F19"/>
  <sheetViews>
    <sheetView zoomScale="160" zoomScaleNormal="160" workbookViewId="0">
      <selection activeCell="F20" sqref="F20"/>
    </sheetView>
  </sheetViews>
  <sheetFormatPr baseColWidth="10" defaultRowHeight="15" x14ac:dyDescent="0.25"/>
  <cols>
    <col min="4" max="4" width="14" customWidth="1"/>
    <col min="5" max="5" width="14.28515625" bestFit="1" customWidth="1"/>
  </cols>
  <sheetData>
    <row r="1" spans="2:6" x14ac:dyDescent="0.25">
      <c r="B1" s="15" t="s">
        <v>48</v>
      </c>
    </row>
    <row r="3" spans="2:6" x14ac:dyDescent="0.25">
      <c r="C3" t="s">
        <v>49</v>
      </c>
    </row>
    <row r="4" spans="2:6" x14ac:dyDescent="0.25">
      <c r="C4" t="s">
        <v>50</v>
      </c>
      <c r="D4" t="s">
        <v>51</v>
      </c>
    </row>
    <row r="5" spans="2:6" x14ac:dyDescent="0.25">
      <c r="C5" t="s">
        <v>50</v>
      </c>
      <c r="D5" s="6" t="s">
        <v>52</v>
      </c>
    </row>
    <row r="6" spans="2:6" x14ac:dyDescent="0.25">
      <c r="C6" t="s">
        <v>53</v>
      </c>
      <c r="E6" t="s">
        <v>54</v>
      </c>
    </row>
    <row r="7" spans="2:6" x14ac:dyDescent="0.25">
      <c r="C7" t="s">
        <v>50</v>
      </c>
      <c r="D7" s="6" t="s">
        <v>62</v>
      </c>
    </row>
    <row r="8" spans="2:6" x14ac:dyDescent="0.25">
      <c r="C8" t="s">
        <v>53</v>
      </c>
      <c r="E8" t="s">
        <v>63</v>
      </c>
    </row>
    <row r="10" spans="2:6" x14ac:dyDescent="0.25">
      <c r="C10" t="s">
        <v>50</v>
      </c>
      <c r="D10" s="7" t="s">
        <v>55</v>
      </c>
    </row>
    <row r="11" spans="2:6" x14ac:dyDescent="0.25">
      <c r="C11" t="s">
        <v>56</v>
      </c>
      <c r="D11" s="16" t="s">
        <v>57</v>
      </c>
      <c r="E11" s="16"/>
      <c r="F11" t="s">
        <v>58</v>
      </c>
    </row>
    <row r="12" spans="2:6" x14ac:dyDescent="0.25">
      <c r="D12" s="16" t="s">
        <v>64</v>
      </c>
      <c r="E12" s="16"/>
    </row>
    <row r="13" spans="2:6" x14ac:dyDescent="0.25">
      <c r="D13" s="16" t="s">
        <v>59</v>
      </c>
      <c r="E13" s="16"/>
    </row>
    <row r="14" spans="2:6" x14ac:dyDescent="0.25">
      <c r="C14" t="s">
        <v>50</v>
      </c>
      <c r="D14" t="s">
        <v>60</v>
      </c>
    </row>
    <row r="15" spans="2:6" x14ac:dyDescent="0.25">
      <c r="C15" t="s">
        <v>53</v>
      </c>
      <c r="D15" s="17" t="s">
        <v>65</v>
      </c>
      <c r="E15" s="17"/>
    </row>
    <row r="16" spans="2:6" x14ac:dyDescent="0.25">
      <c r="C16" t="s">
        <v>53</v>
      </c>
      <c r="D16" s="17" t="s">
        <v>66</v>
      </c>
      <c r="E16" s="17"/>
    </row>
    <row r="17" spans="3:5" x14ac:dyDescent="0.25">
      <c r="C17" t="s">
        <v>53</v>
      </c>
      <c r="D17" s="17" t="s">
        <v>67</v>
      </c>
      <c r="E17" s="17"/>
    </row>
    <row r="19" spans="3:5" x14ac:dyDescent="0.25">
      <c r="C19" t="s">
        <v>53</v>
      </c>
      <c r="D19" t="s">
        <v>61</v>
      </c>
    </row>
  </sheetData>
  <mergeCells count="6">
    <mergeCell ref="D11:E11"/>
    <mergeCell ref="D12:E12"/>
    <mergeCell ref="D13:E13"/>
    <mergeCell ref="D15:E15"/>
    <mergeCell ref="D16:E16"/>
    <mergeCell ref="D17:E17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4332-6347-4559-955D-BCA025A3BB4D}">
  <dimension ref="A1:B9"/>
  <sheetViews>
    <sheetView workbookViewId="0">
      <selection activeCell="N19" sqref="N19"/>
    </sheetView>
  </sheetViews>
  <sheetFormatPr baseColWidth="10" defaultRowHeight="15" x14ac:dyDescent="0.25"/>
  <sheetData>
    <row r="1" spans="1:2" ht="26.25" x14ac:dyDescent="0.4">
      <c r="A1" s="4" t="s">
        <v>15</v>
      </c>
    </row>
    <row r="4" spans="1:2" ht="23.25" x14ac:dyDescent="0.35">
      <c r="B4" s="3" t="s">
        <v>10</v>
      </c>
    </row>
    <row r="5" spans="1:2" ht="23.25" x14ac:dyDescent="0.35">
      <c r="B5" s="3"/>
    </row>
    <row r="6" spans="1:2" ht="23.25" x14ac:dyDescent="0.35">
      <c r="B6" s="3" t="s">
        <v>11</v>
      </c>
    </row>
    <row r="7" spans="1:2" ht="23.25" x14ac:dyDescent="0.35">
      <c r="B7" s="3" t="s">
        <v>12</v>
      </c>
    </row>
    <row r="8" spans="1:2" ht="23.25" x14ac:dyDescent="0.35">
      <c r="B8" s="3" t="s">
        <v>13</v>
      </c>
    </row>
    <row r="9" spans="1:2" ht="23.25" x14ac:dyDescent="0.35">
      <c r="B9" s="3" t="s">
        <v>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43A3-DDF5-4B7B-B9AE-ABB644ACF8D7}">
  <dimension ref="A2:N34"/>
  <sheetViews>
    <sheetView zoomScale="160" zoomScaleNormal="160" workbookViewId="0">
      <selection activeCell="M24" sqref="M24"/>
    </sheetView>
  </sheetViews>
  <sheetFormatPr baseColWidth="10" defaultRowHeight="15" x14ac:dyDescent="0.25"/>
  <cols>
    <col min="6" max="6" width="11.5703125" customWidth="1"/>
    <col min="7" max="7" width="10.85546875" customWidth="1"/>
    <col min="8" max="8" width="10.7109375" customWidth="1"/>
    <col min="10" max="10" width="16.7109375" bestFit="1" customWidth="1"/>
    <col min="11" max="11" width="11.85546875" bestFit="1" customWidth="1"/>
    <col min="12" max="12" width="15.5703125" customWidth="1"/>
  </cols>
  <sheetData>
    <row r="2" spans="1:14" x14ac:dyDescent="0.25">
      <c r="D2" s="2" t="s">
        <v>18</v>
      </c>
      <c r="E2" s="2"/>
      <c r="F2" s="2"/>
    </row>
    <row r="4" spans="1:14" x14ac:dyDescent="0.25">
      <c r="A4" s="2" t="s">
        <v>0</v>
      </c>
      <c r="B4" s="2"/>
    </row>
    <row r="5" spans="1:14" x14ac:dyDescent="0.25">
      <c r="A5" s="6" t="s">
        <v>1</v>
      </c>
      <c r="B5" s="1">
        <v>0</v>
      </c>
      <c r="D5" s="2" t="s">
        <v>16</v>
      </c>
      <c r="E5" s="2"/>
      <c r="F5" s="2"/>
      <c r="G5" s="2"/>
      <c r="H5" s="2"/>
      <c r="M5" t="s">
        <v>17</v>
      </c>
    </row>
    <row r="6" spans="1:14" x14ac:dyDescent="0.25">
      <c r="A6" s="6" t="s">
        <v>3</v>
      </c>
      <c r="B6" s="1">
        <v>9</v>
      </c>
    </row>
    <row r="7" spans="1:14" x14ac:dyDescent="0.25">
      <c r="A7" t="s">
        <v>4</v>
      </c>
      <c r="N7" t="s">
        <v>19</v>
      </c>
    </row>
    <row r="8" spans="1:14" x14ac:dyDescent="0.25">
      <c r="L8" s="6" t="s">
        <v>20</v>
      </c>
    </row>
    <row r="9" spans="1:14" x14ac:dyDescent="0.25">
      <c r="M9" t="s">
        <v>21</v>
      </c>
    </row>
    <row r="10" spans="1:14" x14ac:dyDescent="0.25">
      <c r="M10" t="s">
        <v>22</v>
      </c>
    </row>
    <row r="11" spans="1:14" ht="23.25" x14ac:dyDescent="0.35">
      <c r="A11" s="5" t="s">
        <v>32</v>
      </c>
      <c r="B11" s="5"/>
      <c r="D11" s="3" t="s">
        <v>11</v>
      </c>
    </row>
    <row r="12" spans="1:14" ht="23.25" x14ac:dyDescent="0.35">
      <c r="A12" s="6" t="s">
        <v>26</v>
      </c>
      <c r="B12" s="2">
        <v>10</v>
      </c>
      <c r="D12" s="3" t="s">
        <v>12</v>
      </c>
      <c r="M12" t="s">
        <v>23</v>
      </c>
    </row>
    <row r="13" spans="1:14" ht="23.25" x14ac:dyDescent="0.35">
      <c r="A13" t="s">
        <v>27</v>
      </c>
      <c r="D13" s="3" t="s">
        <v>13</v>
      </c>
      <c r="M13" t="s">
        <v>24</v>
      </c>
    </row>
    <row r="14" spans="1:14" ht="23.25" x14ac:dyDescent="0.35">
      <c r="A14" s="5" t="s">
        <v>28</v>
      </c>
      <c r="B14" s="5"/>
      <c r="D14" s="3" t="s">
        <v>14</v>
      </c>
      <c r="N14" t="s">
        <v>25</v>
      </c>
    </row>
    <row r="15" spans="1:14" x14ac:dyDescent="0.25">
      <c r="A15" t="s">
        <v>29</v>
      </c>
    </row>
    <row r="16" spans="1:14" x14ac:dyDescent="0.25">
      <c r="A16">
        <f>B20/B12</f>
        <v>0.11000000000000001</v>
      </c>
    </row>
    <row r="17" spans="1:12" x14ac:dyDescent="0.25">
      <c r="A17" s="5" t="s">
        <v>30</v>
      </c>
      <c r="B17" s="5"/>
    </row>
    <row r="18" spans="1:12" x14ac:dyDescent="0.25">
      <c r="A18" s="6" t="s">
        <v>31</v>
      </c>
      <c r="B18" s="2">
        <v>1.0000000000000001E-5</v>
      </c>
    </row>
    <row r="19" spans="1:12" x14ac:dyDescent="0.25">
      <c r="A19" s="5" t="s">
        <v>33</v>
      </c>
      <c r="B19" s="5"/>
    </row>
    <row r="20" spans="1:12" ht="31.5" x14ac:dyDescent="0.35">
      <c r="A20" s="6" t="s">
        <v>2</v>
      </c>
      <c r="B20" s="2">
        <v>1.1000000000000001</v>
      </c>
      <c r="C20" s="5"/>
      <c r="D20" s="8" t="s">
        <v>36</v>
      </c>
      <c r="E20" s="8" t="s">
        <v>37</v>
      </c>
      <c r="F20" s="9" t="s">
        <v>40</v>
      </c>
      <c r="G20" s="9" t="s">
        <v>41</v>
      </c>
      <c r="H20" s="9" t="s">
        <v>42</v>
      </c>
      <c r="I20" s="8" t="s">
        <v>38</v>
      </c>
      <c r="J20" s="8" t="s">
        <v>39</v>
      </c>
      <c r="K20" s="8" t="s">
        <v>43</v>
      </c>
    </row>
    <row r="21" spans="1:12" x14ac:dyDescent="0.25">
      <c r="A21" s="5" t="s">
        <v>34</v>
      </c>
      <c r="B21" s="5"/>
      <c r="D21" s="10">
        <v>0</v>
      </c>
      <c r="E21" s="10">
        <f>B5</f>
        <v>0</v>
      </c>
      <c r="F21" s="10">
        <f t="shared" ref="F21:F31" si="0">(_xlfn.GAMMA((dof+1)/2))/(((dof*PI())^(1/2))*_xlfn.GAMMA(dof/2))</f>
        <v>0.38803490887166858</v>
      </c>
      <c r="G21" s="10">
        <f t="shared" ref="G21:G31" si="1">(1+(E21^2/dof))</f>
        <v>1</v>
      </c>
      <c r="H21" s="10">
        <f t="shared" ref="H21:H31" si="2">-(dof+1)/2</f>
        <v>-5</v>
      </c>
      <c r="I21" s="11">
        <f>F21*(G21^H21)</f>
        <v>0.38803490887166858</v>
      </c>
      <c r="J21" s="11"/>
      <c r="K21" s="11">
        <f>I21</f>
        <v>0.38803490887166858</v>
      </c>
    </row>
    <row r="22" spans="1:12" x14ac:dyDescent="0.25">
      <c r="A22" s="7" t="s">
        <v>35</v>
      </c>
      <c r="D22" s="10">
        <v>1</v>
      </c>
      <c r="E22" s="10">
        <f t="shared" ref="E22:E30" si="3">D22*w</f>
        <v>0.11000000000000001</v>
      </c>
      <c r="F22" s="10">
        <f t="shared" si="0"/>
        <v>0.38803490887166858</v>
      </c>
      <c r="G22" s="10">
        <f t="shared" si="1"/>
        <v>1.0013444444444444</v>
      </c>
      <c r="H22" s="10">
        <f t="shared" si="2"/>
        <v>-5</v>
      </c>
      <c r="I22" s="11">
        <f t="shared" ref="I22:I31" si="4">F22*(G22^H22)</f>
        <v>0.38543693984483196</v>
      </c>
      <c r="J22" s="11">
        <f>IF(ISEVEN(D22),I22*2,I22*4)</f>
        <v>1.5417477593793278</v>
      </c>
      <c r="K22" s="11">
        <f>K21+J22</f>
        <v>1.9297826682509964</v>
      </c>
    </row>
    <row r="23" spans="1:12" x14ac:dyDescent="0.25">
      <c r="D23" s="10">
        <v>2</v>
      </c>
      <c r="E23" s="10">
        <f t="shared" si="3"/>
        <v>0.22000000000000003</v>
      </c>
      <c r="F23" s="10">
        <f t="shared" si="0"/>
        <v>0.38803490887166858</v>
      </c>
      <c r="G23" s="10">
        <f t="shared" si="1"/>
        <v>1.0053777777777777</v>
      </c>
      <c r="H23" s="10">
        <f t="shared" si="2"/>
        <v>-5</v>
      </c>
      <c r="I23" s="11">
        <f t="shared" si="4"/>
        <v>0.37776732398026308</v>
      </c>
      <c r="J23" s="11">
        <f t="shared" ref="J23:J30" si="5">IF(ISEVEN(D23),I23*2,I23*4)</f>
        <v>0.75553464796052616</v>
      </c>
      <c r="K23" s="11">
        <f t="shared" ref="K23:K30" si="6">K22+J23</f>
        <v>2.6853173162115227</v>
      </c>
    </row>
    <row r="24" spans="1:12" x14ac:dyDescent="0.25">
      <c r="D24" s="10">
        <v>3</v>
      </c>
      <c r="E24" s="10">
        <f t="shared" si="3"/>
        <v>0.33000000000000007</v>
      </c>
      <c r="F24" s="10">
        <f t="shared" si="0"/>
        <v>0.38803490887166858</v>
      </c>
      <c r="G24" s="10">
        <f t="shared" si="1"/>
        <v>1.0121</v>
      </c>
      <c r="H24" s="10">
        <f t="shared" si="2"/>
        <v>-5</v>
      </c>
      <c r="I24" s="11">
        <f t="shared" si="4"/>
        <v>0.36538748960779849</v>
      </c>
      <c r="J24" s="11">
        <f t="shared" si="5"/>
        <v>1.461549958431194</v>
      </c>
      <c r="K24" s="11">
        <f t="shared" si="6"/>
        <v>4.1468672746427169</v>
      </c>
    </row>
    <row r="25" spans="1:12" x14ac:dyDescent="0.25">
      <c r="D25" s="10">
        <v>4</v>
      </c>
      <c r="E25" s="10">
        <f t="shared" si="3"/>
        <v>0.44000000000000006</v>
      </c>
      <c r="F25" s="10">
        <f t="shared" si="0"/>
        <v>0.38803490887166858</v>
      </c>
      <c r="G25" s="10">
        <f t="shared" si="1"/>
        <v>1.021511111111111</v>
      </c>
      <c r="H25" s="10">
        <f t="shared" si="2"/>
        <v>-5</v>
      </c>
      <c r="I25" s="11">
        <f t="shared" si="4"/>
        <v>0.34886333127019747</v>
      </c>
      <c r="J25" s="11">
        <f t="shared" si="5"/>
        <v>0.69772666254039495</v>
      </c>
      <c r="K25" s="11">
        <f t="shared" si="6"/>
        <v>4.8445939371831122</v>
      </c>
    </row>
    <row r="26" spans="1:12" x14ac:dyDescent="0.25">
      <c r="D26" s="10">
        <v>5</v>
      </c>
      <c r="E26" s="10">
        <f t="shared" si="3"/>
        <v>0.55000000000000004</v>
      </c>
      <c r="F26" s="10">
        <f t="shared" si="0"/>
        <v>0.38803490887166858</v>
      </c>
      <c r="G26" s="10">
        <f t="shared" si="1"/>
        <v>1.033611111111111</v>
      </c>
      <c r="H26" s="10">
        <f t="shared" si="2"/>
        <v>-5</v>
      </c>
      <c r="I26" s="11">
        <f t="shared" si="4"/>
        <v>0.32891596328171846</v>
      </c>
      <c r="J26" s="11">
        <f t="shared" si="5"/>
        <v>1.3156638531268738</v>
      </c>
      <c r="K26" s="11">
        <f t="shared" si="6"/>
        <v>6.160257790309986</v>
      </c>
    </row>
    <row r="27" spans="1:12" x14ac:dyDescent="0.25">
      <c r="D27" s="10">
        <v>6</v>
      </c>
      <c r="E27" s="10">
        <f t="shared" si="3"/>
        <v>0.66000000000000014</v>
      </c>
      <c r="F27" s="10">
        <f t="shared" si="0"/>
        <v>0.38803490887166858</v>
      </c>
      <c r="G27" s="10">
        <f t="shared" si="1"/>
        <v>1.0484</v>
      </c>
      <c r="H27" s="10">
        <f t="shared" si="2"/>
        <v>-5</v>
      </c>
      <c r="I27" s="11">
        <f t="shared" si="4"/>
        <v>0.30636259289430612</v>
      </c>
      <c r="J27" s="11">
        <f t="shared" si="5"/>
        <v>0.61272518578861224</v>
      </c>
      <c r="K27" s="11">
        <f t="shared" si="6"/>
        <v>6.7729829760985982</v>
      </c>
    </row>
    <row r="28" spans="1:12" x14ac:dyDescent="0.25">
      <c r="D28" s="10">
        <v>7</v>
      </c>
      <c r="E28" s="10">
        <f t="shared" si="3"/>
        <v>0.77000000000000013</v>
      </c>
      <c r="F28" s="10">
        <f t="shared" si="0"/>
        <v>0.38803490887166858</v>
      </c>
      <c r="G28" s="10">
        <f t="shared" si="1"/>
        <v>1.0658777777777777</v>
      </c>
      <c r="H28" s="10">
        <f t="shared" si="2"/>
        <v>-5</v>
      </c>
      <c r="I28" s="11">
        <f t="shared" si="4"/>
        <v>0.28205497140663432</v>
      </c>
      <c r="J28" s="11">
        <f t="shared" si="5"/>
        <v>1.1282198856265373</v>
      </c>
      <c r="K28" s="11">
        <f t="shared" si="6"/>
        <v>7.9012028617251353</v>
      </c>
    </row>
    <row r="29" spans="1:12" x14ac:dyDescent="0.25">
      <c r="D29" s="10">
        <v>8</v>
      </c>
      <c r="E29" s="10">
        <f t="shared" si="3"/>
        <v>0.88000000000000012</v>
      </c>
      <c r="F29" s="10">
        <f t="shared" si="0"/>
        <v>0.38803490887166858</v>
      </c>
      <c r="G29" s="10">
        <f t="shared" si="1"/>
        <v>1.0860444444444444</v>
      </c>
      <c r="H29" s="10">
        <f t="shared" si="2"/>
        <v>-5</v>
      </c>
      <c r="I29" s="11">
        <f t="shared" si="4"/>
        <v>0.25682234441928653</v>
      </c>
      <c r="J29" s="11">
        <f t="shared" si="5"/>
        <v>0.51364468883857306</v>
      </c>
      <c r="K29" s="11">
        <f t="shared" si="6"/>
        <v>8.4148475505637084</v>
      </c>
    </row>
    <row r="30" spans="1:12" x14ac:dyDescent="0.25">
      <c r="D30" s="10">
        <v>9</v>
      </c>
      <c r="E30" s="10">
        <f t="shared" si="3"/>
        <v>0.9900000000000001</v>
      </c>
      <c r="F30" s="10">
        <f t="shared" si="0"/>
        <v>0.38803490887166858</v>
      </c>
      <c r="G30" s="10">
        <f t="shared" si="1"/>
        <v>1.1089</v>
      </c>
      <c r="H30" s="10">
        <f t="shared" si="2"/>
        <v>-5</v>
      </c>
      <c r="I30" s="11">
        <f t="shared" si="4"/>
        <v>0.23142425829711366</v>
      </c>
      <c r="J30" s="11">
        <f t="shared" si="5"/>
        <v>0.92569703318845464</v>
      </c>
      <c r="K30" s="11">
        <f t="shared" si="6"/>
        <v>9.3405445837521626</v>
      </c>
    </row>
    <row r="31" spans="1:12" x14ac:dyDescent="0.25">
      <c r="D31" s="10">
        <v>10</v>
      </c>
      <c r="E31" s="10">
        <f>x</f>
        <v>1.1000000000000001</v>
      </c>
      <c r="F31" s="10">
        <f t="shared" si="0"/>
        <v>0.38803490887166858</v>
      </c>
      <c r="G31" s="10">
        <f t="shared" si="1"/>
        <v>1.1344444444444446</v>
      </c>
      <c r="H31" s="10">
        <f t="shared" si="2"/>
        <v>-5</v>
      </c>
      <c r="I31" s="11">
        <f t="shared" si="4"/>
        <v>0.20651644224485094</v>
      </c>
      <c r="J31" s="11"/>
      <c r="K31" s="14">
        <f>K30+I31</f>
        <v>9.5470610259970137</v>
      </c>
      <c r="L31" t="s">
        <v>46</v>
      </c>
    </row>
    <row r="33" spans="10:11" x14ac:dyDescent="0.25">
      <c r="J33" s="12" t="s">
        <v>44</v>
      </c>
      <c r="K33" s="13" cm="1">
        <f t="array" ref="K33">w/3*sumaf</f>
        <v>0.35005890428655723</v>
      </c>
    </row>
    <row r="34" spans="10:11" x14ac:dyDescent="0.25">
      <c r="K34" t="s">
        <v>47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296D-5D57-4EAE-93CF-E133A87710AF}">
  <dimension ref="A1"/>
  <sheetViews>
    <sheetView workbookViewId="0">
      <selection activeCell="H12" sqref="H12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Introducción</vt:lpstr>
      <vt:lpstr>Estructura del proyecto</vt:lpstr>
      <vt:lpstr>Algoritmo</vt:lpstr>
      <vt:lpstr>Planteamiento</vt:lpstr>
      <vt:lpstr>Casos de prueba</vt:lpstr>
      <vt:lpstr>dof</vt:lpstr>
      <vt:lpstr>E</vt:lpstr>
      <vt:lpstr>num_seg</vt:lpstr>
      <vt:lpstr>sumaf</vt:lpstr>
      <vt:lpstr>w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Carolina Aguiñaga González</dc:creator>
  <cp:lastModifiedBy>Mónica Carolina Aguiñaga González</cp:lastModifiedBy>
  <cp:lastPrinted>2026-04-15T19:01:17Z</cp:lastPrinted>
  <dcterms:created xsi:type="dcterms:W3CDTF">2026-04-15T17:17:54Z</dcterms:created>
  <dcterms:modified xsi:type="dcterms:W3CDTF">2026-04-15T20:10:33Z</dcterms:modified>
</cp:coreProperties>
</file>